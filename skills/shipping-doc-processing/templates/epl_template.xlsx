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27945" windowHeight="12375"/>
  </bookViews>
  <sheets>
    <sheet name="CI" sheetId="2" r:id="rId1"/>
    <sheet name="EPL" sheetId="3" r:id="rId2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" i="3" l="1"/>
  <c r="M21" i="3"/>
  <c r="P20" i="3"/>
  <c r="M23" i="2"/>
  <c r="N21" i="2"/>
  <c r="N20" i="2"/>
  <c r="M20" i="2"/>
  <c r="N19" i="2"/>
  <c r="M19" i="2"/>
</calcChain>
</file>

<file path=xl/sharedStrings.xml><?xml version="1.0" encoding="utf-8"?>
<sst xmlns="http://schemas.openxmlformats.org/spreadsheetml/2006/main" count="158" uniqueCount="72">
  <si>
    <t xml:space="preserve">To: </t>
  </si>
  <si>
    <t>LED FLEX Ltd</t>
  </si>
  <si>
    <t>COMMERCIAL INVOICE</t>
  </si>
  <si>
    <t xml:space="preserve">Address: </t>
  </si>
  <si>
    <t>The Light House, Moorside Road
Winchester, Hampshire, SO23 7RX, UK</t>
  </si>
  <si>
    <t>Seller: CLEAR LIGHTING LED LIMITED</t>
  </si>
  <si>
    <t xml:space="preserve">Contact: </t>
  </si>
  <si>
    <t>Conrad Martin</t>
  </si>
  <si>
    <t>RM 17,6/F,GLOBAL PLAZA,NO.1,SHA TSUI ROAD,TSUEN WAN,NEW TERRITORIES.H.K.</t>
  </si>
  <si>
    <t xml:space="preserve">Tel.: </t>
  </si>
  <si>
    <t>+44203 1377 305</t>
  </si>
  <si>
    <t>Tel.:000852-60481957</t>
  </si>
  <si>
    <t>PI Number</t>
  </si>
  <si>
    <t>Issue Date</t>
  </si>
  <si>
    <t>KA12251250564</t>
  </si>
  <si>
    <t>Terms of Payment</t>
  </si>
  <si>
    <t>Price Term</t>
  </si>
  <si>
    <t>T/T</t>
  </si>
  <si>
    <t>EXW HUIZHOU</t>
  </si>
  <si>
    <t>Project Name</t>
  </si>
  <si>
    <t>PO Number</t>
  </si>
  <si>
    <t xml:space="preserve"> </t>
  </si>
  <si>
    <t>11197</t>
  </si>
  <si>
    <t>NO.</t>
  </si>
  <si>
    <t>Item No.</t>
  </si>
  <si>
    <t>Ref. No.</t>
  </si>
  <si>
    <t>HS Code</t>
  </si>
  <si>
    <t>Description</t>
  </si>
  <si>
    <t>QTY</t>
  </si>
  <si>
    <t>Unit</t>
  </si>
  <si>
    <t>Unit Price</t>
  </si>
  <si>
    <t>Amount</t>
  </si>
  <si>
    <t>Remarks</t>
  </si>
  <si>
    <t>USD</t>
  </si>
  <si>
    <t>C-SFR-F23B-VB-24CV-A-144-4.5W-83.3</t>
  </si>
  <si>
    <t>UN10TVA4</t>
  </si>
  <si>
    <r>
      <rPr>
        <sz val="9"/>
        <color indexed="8"/>
        <rFont val="Arial"/>
        <family val="2"/>
      </rPr>
      <t xml:space="preserve">Silicone LED Neon, F23, 10*10MM (W*H), Vertical Bending, DC24V, Constant Voltage,  </t>
    </r>
    <r>
      <rPr>
        <sz val="9"/>
        <color rgb="FFFF0000"/>
        <rFont val="Arial"/>
        <family val="2"/>
      </rPr>
      <t>Amber</t>
    </r>
    <r>
      <rPr>
        <sz val="9"/>
        <color indexed="8"/>
        <rFont val="Arial"/>
        <family val="2"/>
      </rPr>
      <t>, 144LEDs/M, 4.5W/M (1.37W/FT), Cutting Unit 12LEDs, 8.33CM (3.28IN), SMD2835</t>
    </r>
  </si>
  <si>
    <t>M</t>
  </si>
  <si>
    <t>see attached</t>
  </si>
  <si>
    <t>F23B/D2-SIM/FC-S-1000MM</t>
  </si>
  <si>
    <t>2 Wires, F23B/D2, IP67, Silicone Injection-molded Front Connector, Side Feed, 1000MM</t>
  </si>
  <si>
    <t>PCS</t>
  </si>
  <si>
    <t>FIC-M19-M-PL-2P-20A-IP67-Φ5.4~6.4MM-JLT</t>
  </si>
  <si>
    <t>Field Installable Connector, M19 Series, M-Connector, Push Lock Type, 2 Pins, 20A, IP67, Suitable for Φ5.4~6.4mm cable, JLT Company.</t>
  </si>
  <si>
    <t xml:space="preserve"> Pre-attached</t>
  </si>
  <si>
    <t>FIC-M19-F-PL-2P-20A-IP67-Φ5.4~6.4MM-JLT</t>
  </si>
  <si>
    <t>Field Installable Connector, M19 Series, F-Connector, Push Lock Type, 2 Pins, 20A, IP67, Suitable for Φ5.4~6.4mm cable, JLT Company.</t>
  </si>
  <si>
    <t>F23-SA/PL-2000MM-AL</t>
  </si>
  <si>
    <t>013-4031</t>
  </si>
  <si>
    <t>F23, Serrate Aluminum Profile, 2000MM with 10 Screws</t>
  </si>
  <si>
    <t>SET</t>
  </si>
  <si>
    <t>Silicone Cable</t>
  </si>
  <si>
    <t>CABLDPL2PM67</t>
  </si>
  <si>
    <r>
      <rPr>
        <sz val="9"/>
        <color rgb="FFFF0000"/>
        <rFont val="Arial"/>
        <family val="2"/>
      </rPr>
      <t>500cm</t>
    </r>
    <r>
      <rPr>
        <sz val="9"/>
        <color indexed="8"/>
        <rFont val="Arial"/>
        <family val="2"/>
      </rPr>
      <t xml:space="preserve"> silicone bared cable on one end, 2pin push lock </t>
    </r>
    <r>
      <rPr>
        <sz val="9"/>
        <color rgb="FFFF0000"/>
        <rFont val="Arial"/>
        <family val="2"/>
      </rPr>
      <t>male</t>
    </r>
    <r>
      <rPr>
        <sz val="9"/>
        <color indexed="8"/>
        <rFont val="Arial"/>
        <family val="2"/>
      </rPr>
      <t xml:space="preserve"> connector on the other end</t>
    </r>
  </si>
  <si>
    <t>CABLDPL2PF67</t>
  </si>
  <si>
    <r>
      <rPr>
        <sz val="9"/>
        <color rgb="FFFF0000"/>
        <rFont val="Arial"/>
        <family val="2"/>
      </rPr>
      <t>200cm</t>
    </r>
    <r>
      <rPr>
        <sz val="9"/>
        <color indexed="8"/>
        <rFont val="Arial"/>
        <family val="2"/>
      </rPr>
      <t xml:space="preserve"> silicone bared cable on one end, 2pin push lock </t>
    </r>
    <r>
      <rPr>
        <sz val="9"/>
        <color rgb="FFFF0000"/>
        <rFont val="Arial"/>
        <family val="2"/>
      </rPr>
      <t xml:space="preserve">Female </t>
    </r>
    <r>
      <rPr>
        <sz val="9"/>
        <color indexed="8"/>
        <rFont val="Arial"/>
        <family val="2"/>
      </rPr>
      <t>connector on the other end</t>
    </r>
  </si>
  <si>
    <t xml:space="preserve">   Total</t>
  </si>
  <si>
    <t>VAT Number: 166 7110 11</t>
  </si>
  <si>
    <t>On behalf of  CLEAR LIGHTING LED LIMITED</t>
  </si>
  <si>
    <t xml:space="preserve">On behalf of </t>
  </si>
  <si>
    <t>meerkat</t>
  </si>
  <si>
    <t>Seller's Authorised Signature</t>
  </si>
  <si>
    <t>Buyer's Authorised Signature</t>
  </si>
  <si>
    <t>Estimated Packing List</t>
  </si>
  <si>
    <t>C/N</t>
  </si>
  <si>
    <t>G.W.(KG)</t>
  </si>
  <si>
    <t>DIMENSION</t>
  </si>
  <si>
    <t>1-3</t>
  </si>
  <si>
    <t>81.2*70.2*6.3CM*1
206*12.5*14CM*1
29*22*7CM*1</t>
  </si>
  <si>
    <t>3CTNS</t>
  </si>
  <si>
    <t>0.083CBM</t>
  </si>
  <si>
    <t>XS25110808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</si>
</sst>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8" formatCode="[$-409]d/mmm/yyyy;@"/>
    <numFmt numFmtId="179" formatCode="#,##0.0000"/>
    <numFmt numFmtId="180" formatCode="0.00_ "/>
    <numFmt numFmtId="181" formatCode="0.0000_ "/>
  </numFmts>
  <fonts count="11" x14ac:knownFonts="1">
    <font>
      <sz val="11"/>
      <color indexed="8"/>
      <name val="宋体"/>
      <charset val="134"/>
      <scheme val="minor"/>
    </font>
    <font>
      <sz val="9"/>
      <color indexed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sz val="11"/>
      <color indexed="8"/>
      <name val="Arial"/>
      <family val="2"/>
    </font>
    <font>
      <b/>
      <sz val="9"/>
      <color indexed="8"/>
      <name val="Arial"/>
      <family val="2"/>
    </font>
    <font>
      <sz val="10"/>
      <color theme="1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11"/>
      <color indexed="8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93">
    <xf numFmtId="0" fontId="0" fillId="0" borderId="0" xfId="0" applyFont="1">
      <alignment vertical="center"/>
    </xf>
    <xf numFmtId="0" fontId="4" fillId="0" borderId="0" xfId="0" applyFont="1" applyFill="1">
      <alignment vertical="center"/>
    </xf>
    <xf numFmtId="0" fontId="5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6" fillId="0" borderId="5" xfId="3" applyFont="1" applyFill="1" applyBorder="1" applyAlignment="1">
      <alignment horizontal="center" vertical="center"/>
    </xf>
    <xf numFmtId="0" fontId="6" fillId="0" borderId="5" xfId="3" applyFont="1" applyBorder="1" applyAlignment="1">
      <alignment horizontal="center" vertical="center"/>
    </xf>
    <xf numFmtId="0" fontId="1" fillId="0" borderId="14" xfId="3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8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>
      <alignment vertical="center"/>
    </xf>
    <xf numFmtId="180" fontId="4" fillId="0" borderId="5" xfId="0" applyNumberFormat="1" applyFont="1" applyBorder="1" applyAlignment="1">
      <alignment horizontal="center" vertical="center"/>
    </xf>
    <xf numFmtId="0" fontId="4" fillId="0" borderId="0" xfId="0" applyFont="1" applyBorder="1">
      <alignment vertical="center"/>
    </xf>
    <xf numFmtId="0" fontId="4" fillId="0" borderId="11" xfId="0" applyFont="1" applyBorder="1">
      <alignment vertical="center"/>
    </xf>
    <xf numFmtId="181" fontId="1" fillId="0" borderId="5" xfId="0" applyNumberFormat="1" applyFont="1" applyBorder="1" applyAlignment="1">
      <alignment horizontal="center" vertical="center" wrapText="1"/>
    </xf>
    <xf numFmtId="180" fontId="1" fillId="0" borderId="5" xfId="0" applyNumberFormat="1" applyFont="1" applyBorder="1" applyAlignment="1">
      <alignment horizontal="center" vertical="center" wrapText="1"/>
    </xf>
    <xf numFmtId="0" fontId="5" fillId="0" borderId="5" xfId="0" quotePrefix="1" applyFont="1" applyBorder="1" applyAlignment="1">
      <alignment vertical="center"/>
    </xf>
    <xf numFmtId="0" fontId="5" fillId="0" borderId="5" xfId="0" quotePrefix="1" applyFont="1" applyBorder="1" applyAlignment="1">
      <alignment vertical="center" wrapText="1"/>
    </xf>
    <xf numFmtId="0" fontId="1" fillId="0" borderId="1" xfId="0" quotePrefix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quotePrefix="1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vertical="center" wrapText="1"/>
    </xf>
    <xf numFmtId="0" fontId="3" fillId="0" borderId="7" xfId="0" applyFont="1" applyFill="1" applyBorder="1" applyAlignment="1">
      <alignment vertical="center" wrapText="1"/>
    </xf>
    <xf numFmtId="0" fontId="1" fillId="0" borderId="8" xfId="0" quotePrefix="1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0" xfId="0" quotePrefix="1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quotePrefix="1" applyFont="1" applyBorder="1" applyAlignment="1">
      <alignment horizontal="left" vertical="center"/>
    </xf>
    <xf numFmtId="49" fontId="1" fillId="0" borderId="11" xfId="0" applyNumberFormat="1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5" fillId="0" borderId="13" xfId="0" quotePrefix="1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178" fontId="1" fillId="0" borderId="14" xfId="0" applyNumberFormat="1" applyFont="1" applyBorder="1" applyAlignment="1">
      <alignment horizontal="left" vertical="center" wrapText="1"/>
    </xf>
    <xf numFmtId="178" fontId="1" fillId="0" borderId="15" xfId="0" applyNumberFormat="1" applyFont="1" applyBorder="1" applyAlignment="1">
      <alignment horizontal="left" vertical="center" wrapText="1"/>
    </xf>
    <xf numFmtId="178" fontId="1" fillId="0" borderId="4" xfId="0" applyNumberFormat="1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5" xfId="0" quotePrefix="1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4" xfId="0" quotePrefix="1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9" fontId="1" fillId="0" borderId="14" xfId="0" applyNumberFormat="1" applyFont="1" applyBorder="1" applyAlignment="1">
      <alignment horizontal="center" vertical="center" wrapText="1"/>
    </xf>
    <xf numFmtId="0" fontId="5" fillId="0" borderId="5" xfId="0" quotePrefix="1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1" fillId="0" borderId="8" xfId="0" quotePrefix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quotePrefix="1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" fillId="0" borderId="10" xfId="0" quotePrefix="1" applyFont="1" applyBorder="1" applyAlignment="1">
      <alignment horizontal="center" vertical="center"/>
    </xf>
    <xf numFmtId="0" fontId="1" fillId="0" borderId="11" xfId="0" quotePrefix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6" xfId="0" quotePrefix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" fillId="0" borderId="16" xfId="0" quotePrefix="1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5" fillId="0" borderId="16" xfId="0" applyNumberFormat="1" applyFont="1" applyBorder="1" applyAlignment="1">
      <alignment horizontal="center" vertical="center"/>
    </xf>
    <xf numFmtId="0" fontId="5" fillId="0" borderId="13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4">
    <cellStyle name="常规" xfId="0" builtinId="0"/>
    <cellStyle name="常规 2" xfId="1"/>
    <cellStyle name="常规 3" xfId="2"/>
    <cellStyle name="常规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1000125</xdr:colOff>
      <xdr:row>0</xdr:row>
      <xdr:rowOff>57785</xdr:rowOff>
    </xdr:from>
    <xdr:to>
      <xdr:col>9</xdr:col>
      <xdr:colOff>210820</xdr:colOff>
      <xdr:row>0</xdr:row>
      <xdr:rowOff>495935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0" y="57785"/>
          <a:ext cx="1372870" cy="43815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1000125</xdr:colOff>
      <xdr:row>0</xdr:row>
      <xdr:rowOff>57785</xdr:rowOff>
    </xdr:from>
    <xdr:to>
      <xdr:col>9</xdr:col>
      <xdr:colOff>210820</xdr:colOff>
      <xdr:row>0</xdr:row>
      <xdr:rowOff>495935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86525" y="57785"/>
          <a:ext cx="1372870" cy="4381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T25"/>
  <sheetViews>
    <sheetView tabSelected="1" topLeftCell="A7" workbookViewId="0">
      <selection activeCell="P16" sqref="P16"/>
    </sheetView>
  </sheetViews>
  <sheetFormatPr defaultColWidth="9" defaultRowHeight="14.25" customHeight="1" x14ac:dyDescent="0.15"/>
  <cols>
    <col min="1" max="1" width="5" customWidth="1"/>
    <col min="2" max="2" width="6.25" customWidth="1"/>
    <col min="3" max="3" width="6.75" customWidth="1"/>
    <col min="4" max="5" width="12.625" customWidth="1"/>
    <col min="6" max="6" width="6.25" customWidth="1"/>
    <col min="7" max="7" width="18.625" customWidth="1"/>
    <col min="8" max="8" width="23.25" customWidth="1"/>
    <col min="9" max="9" width="5.125" customWidth="1"/>
    <col min="10" max="10" width="4.5" customWidth="1"/>
    <col min="11" max="11" width="5" customWidth="1"/>
    <col min="12" max="12" width="4.375" customWidth="1"/>
    <col min="13" max="13" width="10.125" customWidth="1"/>
    <col min="14" max="14" width="11.75" customWidth="1"/>
    <col min="15" max="15" width="16.625" customWidth="1"/>
    <col min="16" max="16" width="15"/>
    <col min="17" max="20" width="15" customWidth="1"/>
    <col min="21" max="48" width="15"/>
  </cols>
  <sheetData>
    <row r="1" spans="1:20" ht="45.95" customHeight="1" x14ac:dyDescent="0.15">
      <c r="A1" s="17" t="s">
        <v>0</v>
      </c>
      <c r="B1" s="18"/>
      <c r="C1" s="19" t="s">
        <v>1</v>
      </c>
      <c r="D1" s="19"/>
      <c r="E1" s="19"/>
      <c r="F1" s="19"/>
      <c r="G1" s="20"/>
      <c r="H1" s="21"/>
      <c r="I1" s="22"/>
      <c r="J1" s="22"/>
      <c r="K1" s="22"/>
      <c r="L1" s="22"/>
      <c r="M1" s="23" t="s">
        <v>2</v>
      </c>
      <c r="N1" s="24"/>
      <c r="O1" s="25"/>
    </row>
    <row r="2" spans="1:20" ht="39" customHeight="1" x14ac:dyDescent="0.15">
      <c r="A2" s="26" t="s">
        <v>3</v>
      </c>
      <c r="B2" s="27"/>
      <c r="C2" s="28" t="s">
        <v>4</v>
      </c>
      <c r="D2" s="28"/>
      <c r="E2" s="28"/>
      <c r="F2" s="28"/>
      <c r="G2" s="29"/>
      <c r="H2" s="30" t="s">
        <v>5</v>
      </c>
      <c r="I2" s="27"/>
      <c r="J2" s="27"/>
      <c r="K2" s="27"/>
      <c r="L2" s="27"/>
      <c r="M2" s="27"/>
      <c r="N2" s="27"/>
      <c r="O2" s="31"/>
    </row>
    <row r="3" spans="1:20" ht="31.5" customHeight="1" x14ac:dyDescent="0.15">
      <c r="A3" s="26" t="s">
        <v>6</v>
      </c>
      <c r="B3" s="27"/>
      <c r="C3" s="27" t="s">
        <v>7</v>
      </c>
      <c r="D3" s="27"/>
      <c r="E3" s="27"/>
      <c r="F3" s="27"/>
      <c r="G3" s="31"/>
      <c r="H3" s="28" t="s">
        <v>8</v>
      </c>
      <c r="I3" s="27"/>
      <c r="J3" s="27"/>
      <c r="K3" s="27"/>
      <c r="L3" s="27"/>
      <c r="M3" s="27"/>
      <c r="N3" s="27"/>
      <c r="O3" s="31"/>
      <c r="Q3" s="1"/>
      <c r="R3" s="1"/>
      <c r="S3" s="1"/>
      <c r="T3" s="1"/>
    </row>
    <row r="4" spans="1:20" ht="14.25" customHeight="1" x14ac:dyDescent="0.15">
      <c r="A4" s="32" t="s">
        <v>9</v>
      </c>
      <c r="B4" s="33"/>
      <c r="C4" s="33" t="s">
        <v>10</v>
      </c>
      <c r="D4" s="33"/>
      <c r="E4" s="33"/>
      <c r="F4" s="33"/>
      <c r="G4" s="34"/>
      <c r="H4" s="30" t="s">
        <v>11</v>
      </c>
      <c r="I4" s="27"/>
      <c r="J4" s="27"/>
      <c r="K4" s="27"/>
      <c r="L4" s="27"/>
      <c r="M4" s="27"/>
      <c r="N4" s="27"/>
      <c r="O4" s="31"/>
      <c r="Q4" s="1"/>
      <c r="R4" s="1"/>
      <c r="S4" s="1"/>
      <c r="T4" s="1"/>
    </row>
    <row r="5" spans="1:20" ht="14.25" customHeight="1" x14ac:dyDescent="0.15">
      <c r="A5" s="35" t="s">
        <v>12</v>
      </c>
      <c r="B5" s="36"/>
      <c r="C5" s="36"/>
      <c r="D5" s="35" t="s">
        <v>13</v>
      </c>
      <c r="E5" s="36"/>
      <c r="F5" s="36"/>
      <c r="G5" s="36"/>
      <c r="H5" s="78"/>
      <c r="I5" s="33"/>
      <c r="J5" s="33"/>
      <c r="K5" s="33"/>
      <c r="L5" s="33"/>
      <c r="M5" s="33"/>
      <c r="N5" s="33"/>
      <c r="O5" s="34"/>
      <c r="Q5" s="1"/>
      <c r="R5" s="1"/>
      <c r="S5" s="1"/>
      <c r="T5" s="1"/>
    </row>
    <row r="6" spans="1:20" ht="14.25" customHeight="1" x14ac:dyDescent="0.15">
      <c r="A6" s="37" t="s">
        <v>14</v>
      </c>
      <c r="B6" s="38"/>
      <c r="C6" s="39"/>
      <c r="D6" s="40">
        <v>45988</v>
      </c>
      <c r="E6" s="41"/>
      <c r="F6" s="41"/>
      <c r="G6" s="42"/>
      <c r="H6" s="43"/>
      <c r="I6" s="44"/>
      <c r="J6" s="44"/>
      <c r="K6" s="44"/>
      <c r="L6" s="44"/>
      <c r="M6" s="44"/>
      <c r="N6" s="44"/>
      <c r="O6" s="45"/>
      <c r="Q6" s="1"/>
      <c r="R6" s="1"/>
      <c r="S6" s="1"/>
      <c r="T6" s="1"/>
    </row>
    <row r="7" spans="1:20" ht="14.25" customHeight="1" x14ac:dyDescent="0.15">
      <c r="A7" s="46" t="s">
        <v>15</v>
      </c>
      <c r="B7" s="47"/>
      <c r="C7" s="47"/>
      <c r="D7" s="46" t="s">
        <v>16</v>
      </c>
      <c r="E7" s="47"/>
      <c r="F7" s="47"/>
      <c r="G7" s="47"/>
      <c r="H7" s="43"/>
      <c r="I7" s="44"/>
      <c r="J7" s="44"/>
      <c r="K7" s="44"/>
      <c r="L7" s="44"/>
      <c r="M7" s="44"/>
      <c r="N7" s="44"/>
      <c r="O7" s="45"/>
      <c r="Q7" s="1"/>
      <c r="R7" s="1"/>
      <c r="S7" s="1"/>
      <c r="T7" s="1"/>
    </row>
    <row r="8" spans="1:20" ht="14.25" customHeight="1" x14ac:dyDescent="0.15">
      <c r="A8" s="54" t="s">
        <v>17</v>
      </c>
      <c r="B8" s="54"/>
      <c r="C8" s="54"/>
      <c r="D8" s="54" t="s">
        <v>18</v>
      </c>
      <c r="E8" s="54"/>
      <c r="F8" s="54"/>
      <c r="G8" s="54"/>
      <c r="H8" s="43"/>
      <c r="I8" s="44"/>
      <c r="J8" s="44"/>
      <c r="K8" s="44"/>
      <c r="L8" s="44"/>
      <c r="M8" s="44"/>
      <c r="N8" s="44"/>
      <c r="O8" s="45"/>
      <c r="Q8" s="1"/>
      <c r="R8" s="1"/>
      <c r="S8" s="1"/>
      <c r="T8" s="1"/>
    </row>
    <row r="9" spans="1:20" ht="14.25" customHeight="1" x14ac:dyDescent="0.15">
      <c r="A9" s="54"/>
      <c r="B9" s="54"/>
      <c r="C9" s="54"/>
      <c r="D9" s="54"/>
      <c r="E9" s="54"/>
      <c r="F9" s="54"/>
      <c r="G9" s="54"/>
      <c r="H9" s="43"/>
      <c r="I9" s="44"/>
      <c r="J9" s="44"/>
      <c r="K9" s="44"/>
      <c r="L9" s="44"/>
      <c r="M9" s="44"/>
      <c r="N9" s="44"/>
      <c r="O9" s="45"/>
      <c r="Q9" s="1"/>
      <c r="R9" s="1"/>
      <c r="S9" s="1"/>
      <c r="T9" s="1"/>
    </row>
    <row r="10" spans="1:20" ht="30" customHeight="1" x14ac:dyDescent="0.15">
      <c r="A10" s="48" t="s">
        <v>19</v>
      </c>
      <c r="B10" s="49"/>
      <c r="C10" s="50"/>
      <c r="D10" s="46" t="s">
        <v>20</v>
      </c>
      <c r="E10" s="47"/>
      <c r="F10" s="47"/>
      <c r="G10" s="47"/>
      <c r="H10" s="51"/>
      <c r="I10" s="52"/>
      <c r="J10" s="52"/>
      <c r="K10" s="52"/>
      <c r="L10" s="52"/>
      <c r="M10" s="52"/>
      <c r="N10" s="52"/>
      <c r="O10" s="53"/>
      <c r="Q10" s="1"/>
      <c r="R10" s="1"/>
      <c r="S10" s="1"/>
      <c r="T10" s="1"/>
    </row>
    <row r="11" spans="1:20" ht="32.25" customHeight="1" x14ac:dyDescent="0.15">
      <c r="A11" s="54" t="s">
        <v>21</v>
      </c>
      <c r="B11" s="54"/>
      <c r="C11" s="54"/>
      <c r="D11" s="54" t="s">
        <v>22</v>
      </c>
      <c r="E11" s="54"/>
      <c r="F11" s="54"/>
      <c r="G11" s="54"/>
      <c r="H11" s="55"/>
      <c r="I11" s="56"/>
      <c r="J11" s="56"/>
      <c r="K11" s="56"/>
      <c r="L11" s="56"/>
      <c r="M11" s="56"/>
      <c r="N11" s="56"/>
      <c r="O11" s="57"/>
      <c r="Q11" s="1"/>
      <c r="R11" s="1"/>
      <c r="S11" s="1"/>
      <c r="T11" s="1"/>
    </row>
    <row r="12" spans="1:20" ht="14.25" customHeight="1" x14ac:dyDescent="0.15">
      <c r="A12" s="74" t="s">
        <v>23</v>
      </c>
      <c r="B12" s="74" t="s">
        <v>24</v>
      </c>
      <c r="C12" s="75"/>
      <c r="D12" s="74" t="s">
        <v>25</v>
      </c>
      <c r="E12" s="76" t="s">
        <v>26</v>
      </c>
      <c r="F12" s="74" t="s">
        <v>27</v>
      </c>
      <c r="G12" s="75"/>
      <c r="H12" s="75"/>
      <c r="I12" s="74" t="s">
        <v>28</v>
      </c>
      <c r="J12" s="75"/>
      <c r="K12" s="74" t="s">
        <v>29</v>
      </c>
      <c r="L12" s="75"/>
      <c r="M12" s="15" t="s">
        <v>30</v>
      </c>
      <c r="N12" s="15" t="s">
        <v>31</v>
      </c>
      <c r="O12" s="74" t="s">
        <v>32</v>
      </c>
    </row>
    <row r="13" spans="1:20" ht="14.25" customHeight="1" x14ac:dyDescent="0.15">
      <c r="A13" s="75"/>
      <c r="B13" s="75"/>
      <c r="C13" s="75"/>
      <c r="D13" s="75"/>
      <c r="E13" s="77"/>
      <c r="F13" s="75"/>
      <c r="G13" s="75"/>
      <c r="H13" s="75"/>
      <c r="I13" s="75"/>
      <c r="J13" s="75"/>
      <c r="K13" s="75"/>
      <c r="L13" s="75"/>
      <c r="M13" s="2" t="s">
        <v>33</v>
      </c>
      <c r="N13" s="2" t="s">
        <v>33</v>
      </c>
      <c r="O13" s="75"/>
    </row>
    <row r="14" spans="1:20" ht="78" customHeight="1" x14ac:dyDescent="0.15">
      <c r="A14" s="3">
        <v>1</v>
      </c>
      <c r="B14" s="58" t="s">
        <v>34</v>
      </c>
      <c r="C14" s="59"/>
      <c r="D14" s="3" t="s">
        <v>35</v>
      </c>
      <c r="E14" s="4">
        <v>9405423990</v>
      </c>
      <c r="F14" s="37" t="s">
        <v>36</v>
      </c>
      <c r="G14" s="38"/>
      <c r="H14" s="39"/>
      <c r="I14" s="60">
        <v>22.5</v>
      </c>
      <c r="J14" s="59"/>
      <c r="K14" s="58" t="s">
        <v>37</v>
      </c>
      <c r="L14" s="59"/>
      <c r="M14" s="13">
        <v>13</v>
      </c>
      <c r="N14" s="14">
        <v>292.5</v>
      </c>
      <c r="O14" s="3" t="s">
        <v>38</v>
      </c>
    </row>
    <row r="15" spans="1:20" ht="78" customHeight="1" x14ac:dyDescent="0.15">
      <c r="A15" s="3">
        <v>2</v>
      </c>
      <c r="B15" s="58" t="s">
        <v>39</v>
      </c>
      <c r="C15" s="59"/>
      <c r="D15" s="3" t="s">
        <v>21</v>
      </c>
      <c r="E15" s="5">
        <v>8535301090</v>
      </c>
      <c r="F15" s="37" t="s">
        <v>40</v>
      </c>
      <c r="G15" s="38"/>
      <c r="H15" s="39"/>
      <c r="I15" s="60">
        <v>36</v>
      </c>
      <c r="J15" s="59"/>
      <c r="K15" s="58" t="s">
        <v>41</v>
      </c>
      <c r="L15" s="59"/>
      <c r="M15" s="13">
        <v>5</v>
      </c>
      <c r="N15" s="14">
        <v>180</v>
      </c>
      <c r="O15" s="3" t="s">
        <v>21</v>
      </c>
      <c r="P15" t="s">
        <v>71</v>
      </c>
    </row>
    <row r="16" spans="1:20" ht="78" customHeight="1" x14ac:dyDescent="0.15">
      <c r="A16" s="3">
        <v>3</v>
      </c>
      <c r="B16" s="58" t="s">
        <v>42</v>
      </c>
      <c r="C16" s="59"/>
      <c r="D16" s="3" t="s">
        <v>21</v>
      </c>
      <c r="E16" s="5">
        <v>8535301090</v>
      </c>
      <c r="F16" s="37" t="s">
        <v>43</v>
      </c>
      <c r="G16" s="38"/>
      <c r="H16" s="39"/>
      <c r="I16" s="60">
        <v>18</v>
      </c>
      <c r="J16" s="59"/>
      <c r="K16" s="58" t="s">
        <v>41</v>
      </c>
      <c r="L16" s="59"/>
      <c r="M16" s="13">
        <v>0</v>
      </c>
      <c r="N16" s="14">
        <v>0</v>
      </c>
      <c r="O16" s="3" t="s">
        <v>44</v>
      </c>
    </row>
    <row r="17" spans="1:15" ht="78" customHeight="1" x14ac:dyDescent="0.15">
      <c r="A17" s="3">
        <v>4</v>
      </c>
      <c r="B17" s="58" t="s">
        <v>45</v>
      </c>
      <c r="C17" s="59"/>
      <c r="D17" s="3" t="s">
        <v>21</v>
      </c>
      <c r="E17" s="5">
        <v>8535301090</v>
      </c>
      <c r="F17" s="37" t="s">
        <v>46</v>
      </c>
      <c r="G17" s="38"/>
      <c r="H17" s="39"/>
      <c r="I17" s="60">
        <v>18</v>
      </c>
      <c r="J17" s="59"/>
      <c r="K17" s="58" t="s">
        <v>41</v>
      </c>
      <c r="L17" s="59"/>
      <c r="M17" s="13">
        <v>0</v>
      </c>
      <c r="N17" s="14">
        <v>0</v>
      </c>
      <c r="O17" s="3" t="s">
        <v>44</v>
      </c>
    </row>
    <row r="18" spans="1:15" ht="78" customHeight="1" x14ac:dyDescent="0.15">
      <c r="A18" s="3">
        <v>5</v>
      </c>
      <c r="B18" s="58" t="s">
        <v>47</v>
      </c>
      <c r="C18" s="59"/>
      <c r="D18" s="3" t="s">
        <v>48</v>
      </c>
      <c r="E18" s="6">
        <v>9405119090</v>
      </c>
      <c r="F18" s="37" t="s">
        <v>49</v>
      </c>
      <c r="G18" s="38"/>
      <c r="H18" s="39"/>
      <c r="I18" s="60">
        <v>18</v>
      </c>
      <c r="J18" s="59"/>
      <c r="K18" s="58" t="s">
        <v>50</v>
      </c>
      <c r="L18" s="59"/>
      <c r="M18" s="13">
        <v>6.5</v>
      </c>
      <c r="N18" s="14">
        <v>117</v>
      </c>
      <c r="O18" s="3" t="s">
        <v>21</v>
      </c>
    </row>
    <row r="19" spans="1:15" ht="78" customHeight="1" x14ac:dyDescent="0.15">
      <c r="A19" s="3">
        <v>6</v>
      </c>
      <c r="B19" s="58" t="s">
        <v>51</v>
      </c>
      <c r="C19" s="59"/>
      <c r="D19" s="3" t="s">
        <v>52</v>
      </c>
      <c r="E19" s="5">
        <v>8535301090</v>
      </c>
      <c r="F19" s="37" t="s">
        <v>53</v>
      </c>
      <c r="G19" s="38"/>
      <c r="H19" s="39"/>
      <c r="I19" s="60">
        <v>3</v>
      </c>
      <c r="J19" s="59"/>
      <c r="K19" s="58" t="s">
        <v>41</v>
      </c>
      <c r="L19" s="59"/>
      <c r="M19" s="13">
        <f>5*1.9+1.5112</f>
        <v>11.011200000000001</v>
      </c>
      <c r="N19" s="14">
        <f>I19*M19</f>
        <v>33.0336</v>
      </c>
      <c r="O19" s="3" t="s">
        <v>21</v>
      </c>
    </row>
    <row r="20" spans="1:15" ht="78" customHeight="1" x14ac:dyDescent="0.15">
      <c r="A20" s="3">
        <v>7</v>
      </c>
      <c r="B20" s="58" t="s">
        <v>51</v>
      </c>
      <c r="C20" s="59"/>
      <c r="D20" s="3" t="s">
        <v>54</v>
      </c>
      <c r="E20" s="5">
        <v>8535301090</v>
      </c>
      <c r="F20" s="37" t="s">
        <v>55</v>
      </c>
      <c r="G20" s="38"/>
      <c r="H20" s="39"/>
      <c r="I20" s="60">
        <v>3</v>
      </c>
      <c r="J20" s="59"/>
      <c r="K20" s="58" t="s">
        <v>41</v>
      </c>
      <c r="L20" s="59"/>
      <c r="M20" s="13">
        <f>2*1.9+1.836</f>
        <v>5.6360000000000001</v>
      </c>
      <c r="N20" s="14">
        <f>I20*M20</f>
        <v>16.908000000000001</v>
      </c>
      <c r="O20" s="3" t="s">
        <v>21</v>
      </c>
    </row>
    <row r="21" spans="1:15" ht="20.100000000000001" customHeight="1" x14ac:dyDescent="0.15">
      <c r="A21" s="61" t="s">
        <v>56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10">
        <f>SUM(N14:N20)</f>
        <v>639.44159999999999</v>
      </c>
      <c r="O21" s="9"/>
    </row>
    <row r="22" spans="1:15" ht="20.100000000000001" customHeight="1" x14ac:dyDescent="0.15">
      <c r="A22" s="61" t="s">
        <v>57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10"/>
      <c r="O22" s="9"/>
    </row>
    <row r="23" spans="1:15" ht="15.95" customHeight="1" x14ac:dyDescent="0.15">
      <c r="A23" s="63" t="s">
        <v>58</v>
      </c>
      <c r="B23" s="64"/>
      <c r="C23" s="64"/>
      <c r="D23" s="64"/>
      <c r="E23" s="64"/>
      <c r="F23" s="64"/>
      <c r="G23" s="64"/>
      <c r="H23" s="11"/>
      <c r="I23" s="11"/>
      <c r="J23" s="65" t="s">
        <v>59</v>
      </c>
      <c r="K23" s="66"/>
      <c r="L23" s="66"/>
      <c r="M23" s="27" t="str">
        <f>C1</f>
        <v>LED FLEX Ltd</v>
      </c>
      <c r="N23" s="27"/>
      <c r="O23" s="31"/>
    </row>
    <row r="24" spans="1:15" ht="21" customHeight="1" x14ac:dyDescent="0.15">
      <c r="A24" s="67" t="s">
        <v>60</v>
      </c>
      <c r="B24" s="68"/>
      <c r="C24" s="68"/>
      <c r="D24" s="68"/>
      <c r="E24" s="68"/>
      <c r="F24" s="68"/>
      <c r="G24" s="11"/>
      <c r="H24" s="11"/>
      <c r="I24" s="11"/>
      <c r="J24" s="69"/>
      <c r="K24" s="69"/>
      <c r="L24" s="69"/>
      <c r="M24" s="69"/>
      <c r="N24" s="69"/>
      <c r="O24" s="70"/>
    </row>
    <row r="25" spans="1:15" ht="24" customHeight="1" x14ac:dyDescent="0.15">
      <c r="A25" s="71" t="s">
        <v>61</v>
      </c>
      <c r="B25" s="68"/>
      <c r="C25" s="68"/>
      <c r="D25" s="68"/>
      <c r="E25" s="68"/>
      <c r="F25" s="68"/>
      <c r="G25" s="12"/>
      <c r="H25" s="12"/>
      <c r="I25" s="12"/>
      <c r="J25" s="72" t="s">
        <v>62</v>
      </c>
      <c r="K25" s="68"/>
      <c r="L25" s="68"/>
      <c r="M25" s="68"/>
      <c r="N25" s="68"/>
      <c r="O25" s="73"/>
    </row>
  </sheetData>
  <mergeCells count="76">
    <mergeCell ref="A25:F25"/>
    <mergeCell ref="J25:O25"/>
    <mergeCell ref="A12:A13"/>
    <mergeCell ref="D12:D13"/>
    <mergeCell ref="E12:E13"/>
    <mergeCell ref="O12:O13"/>
    <mergeCell ref="F12:H13"/>
    <mergeCell ref="B12:C13"/>
    <mergeCell ref="I12:J13"/>
    <mergeCell ref="K12:L13"/>
    <mergeCell ref="A22:M22"/>
    <mergeCell ref="A23:G23"/>
    <mergeCell ref="J23:L23"/>
    <mergeCell ref="M23:O23"/>
    <mergeCell ref="A24:F24"/>
    <mergeCell ref="J24:O24"/>
    <mergeCell ref="B20:C20"/>
    <mergeCell ref="F20:H20"/>
    <mergeCell ref="I20:J20"/>
    <mergeCell ref="K20:L20"/>
    <mergeCell ref="A21:M21"/>
    <mergeCell ref="B18:C18"/>
    <mergeCell ref="F18:H18"/>
    <mergeCell ref="I18:J18"/>
    <mergeCell ref="K18:L18"/>
    <mergeCell ref="B19:C19"/>
    <mergeCell ref="F19:H19"/>
    <mergeCell ref="I19:J19"/>
    <mergeCell ref="K19:L19"/>
    <mergeCell ref="B16:C16"/>
    <mergeCell ref="F16:H16"/>
    <mergeCell ref="I16:J16"/>
    <mergeCell ref="K16:L16"/>
    <mergeCell ref="B17:C17"/>
    <mergeCell ref="F17:H17"/>
    <mergeCell ref="I17:J17"/>
    <mergeCell ref="K17:L17"/>
    <mergeCell ref="B14:C14"/>
    <mergeCell ref="F14:H14"/>
    <mergeCell ref="I14:J14"/>
    <mergeCell ref="K14:L14"/>
    <mergeCell ref="B15:C15"/>
    <mergeCell ref="F15:H15"/>
    <mergeCell ref="I15:J15"/>
    <mergeCell ref="K15:L15"/>
    <mergeCell ref="A10:C10"/>
    <mergeCell ref="D10:G10"/>
    <mergeCell ref="H10:O10"/>
    <mergeCell ref="A11:C11"/>
    <mergeCell ref="D11:G11"/>
    <mergeCell ref="H11:O11"/>
    <mergeCell ref="A7:C7"/>
    <mergeCell ref="D7:G7"/>
    <mergeCell ref="H7:O7"/>
    <mergeCell ref="H8:O8"/>
    <mergeCell ref="H9:O9"/>
    <mergeCell ref="A8:C9"/>
    <mergeCell ref="D8:G9"/>
    <mergeCell ref="A5:C5"/>
    <mergeCell ref="D5:G5"/>
    <mergeCell ref="A6:C6"/>
    <mergeCell ref="D6:G6"/>
    <mergeCell ref="H6:O6"/>
    <mergeCell ref="H4:O5"/>
    <mergeCell ref="A3:B3"/>
    <mergeCell ref="C3:G3"/>
    <mergeCell ref="H3:O3"/>
    <mergeCell ref="A4:B4"/>
    <mergeCell ref="C4:G4"/>
    <mergeCell ref="A1:B1"/>
    <mergeCell ref="C1:G1"/>
    <mergeCell ref="H1:L1"/>
    <mergeCell ref="M1:O1"/>
    <mergeCell ref="A2:B2"/>
    <mergeCell ref="C2:G2"/>
    <mergeCell ref="H2:O2"/>
  </mergeCells>
  <phoneticPr fontId="10" type="noConversion"/>
  <printOptions horizontalCentered="1"/>
  <pageMargins left="0.196850393700787" right="0.196850393700787" top="0.196850393700787" bottom="0.196850393700787" header="0.31496062992126" footer="0.31496062992126"/>
  <pageSetup paperSize="9" scale="68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S25"/>
  <sheetViews>
    <sheetView topLeftCell="A15" workbookViewId="0">
      <selection activeCell="Q16" sqref="Q16"/>
    </sheetView>
  </sheetViews>
  <sheetFormatPr defaultColWidth="9" defaultRowHeight="14.25" customHeight="1" x14ac:dyDescent="0.15"/>
  <cols>
    <col min="1" max="1" width="8.875" customWidth="1"/>
    <col min="2" max="2" width="6.25" customWidth="1"/>
    <col min="3" max="3" width="6.75" customWidth="1"/>
    <col min="4" max="5" width="12.625" customWidth="1"/>
    <col min="6" max="6" width="6.25" customWidth="1"/>
    <col min="7" max="7" width="18.625" customWidth="1"/>
    <col min="8" max="8" width="23.25" customWidth="1"/>
    <col min="9" max="9" width="5.125" customWidth="1"/>
    <col min="10" max="10" width="4.5" customWidth="1"/>
    <col min="11" max="11" width="5" customWidth="1"/>
    <col min="12" max="12" width="4.375" customWidth="1"/>
    <col min="13" max="13" width="10.125" customWidth="1"/>
    <col min="14" max="14" width="14.25" customWidth="1"/>
    <col min="15" max="15" width="16.625" customWidth="1"/>
    <col min="16" max="19" width="15" customWidth="1"/>
    <col min="20" max="47" width="15"/>
  </cols>
  <sheetData>
    <row r="1" spans="1:19" ht="45.95" customHeight="1" x14ac:dyDescent="0.15">
      <c r="A1" s="17" t="s">
        <v>0</v>
      </c>
      <c r="B1" s="18"/>
      <c r="C1" s="19" t="s">
        <v>1</v>
      </c>
      <c r="D1" s="19"/>
      <c r="E1" s="19"/>
      <c r="F1" s="19"/>
      <c r="G1" s="20"/>
      <c r="H1" s="21"/>
      <c r="I1" s="22"/>
      <c r="J1" s="22"/>
      <c r="K1" s="22"/>
      <c r="L1" s="22"/>
      <c r="M1" s="79" t="s">
        <v>63</v>
      </c>
      <c r="N1" s="80"/>
      <c r="O1" s="81"/>
    </row>
    <row r="2" spans="1:19" ht="39" customHeight="1" x14ac:dyDescent="0.15">
      <c r="A2" s="26" t="s">
        <v>3</v>
      </c>
      <c r="B2" s="27"/>
      <c r="C2" s="28" t="s">
        <v>4</v>
      </c>
      <c r="D2" s="28"/>
      <c r="E2" s="28"/>
      <c r="F2" s="28"/>
      <c r="G2" s="29"/>
      <c r="H2" s="30" t="s">
        <v>5</v>
      </c>
      <c r="I2" s="27"/>
      <c r="J2" s="27"/>
      <c r="K2" s="27"/>
      <c r="L2" s="27"/>
      <c r="M2" s="27"/>
      <c r="N2" s="27"/>
      <c r="O2" s="31"/>
    </row>
    <row r="3" spans="1:19" ht="31.5" customHeight="1" x14ac:dyDescent="0.15">
      <c r="A3" s="26" t="s">
        <v>6</v>
      </c>
      <c r="B3" s="27"/>
      <c r="C3" s="27" t="s">
        <v>7</v>
      </c>
      <c r="D3" s="27"/>
      <c r="E3" s="27"/>
      <c r="F3" s="27"/>
      <c r="G3" s="31"/>
      <c r="H3" s="28" t="s">
        <v>8</v>
      </c>
      <c r="I3" s="27"/>
      <c r="J3" s="27"/>
      <c r="K3" s="27"/>
      <c r="L3" s="27"/>
      <c r="M3" s="27"/>
      <c r="N3" s="27"/>
      <c r="O3" s="31"/>
      <c r="P3" s="1"/>
      <c r="Q3" s="1"/>
      <c r="R3" s="1"/>
      <c r="S3" s="1"/>
    </row>
    <row r="4" spans="1:19" ht="14.25" customHeight="1" x14ac:dyDescent="0.15">
      <c r="A4" s="32" t="s">
        <v>9</v>
      </c>
      <c r="B4" s="33"/>
      <c r="C4" s="33" t="s">
        <v>10</v>
      </c>
      <c r="D4" s="33"/>
      <c r="E4" s="33"/>
      <c r="F4" s="33"/>
      <c r="G4" s="34"/>
      <c r="H4" s="30" t="s">
        <v>11</v>
      </c>
      <c r="I4" s="27"/>
      <c r="J4" s="27"/>
      <c r="K4" s="27"/>
      <c r="L4" s="27"/>
      <c r="M4" s="27"/>
      <c r="N4" s="27"/>
      <c r="O4" s="31"/>
      <c r="P4" s="1"/>
      <c r="Q4" s="1"/>
      <c r="R4" s="1"/>
      <c r="S4" s="1"/>
    </row>
    <row r="5" spans="1:19" ht="14.25" customHeight="1" x14ac:dyDescent="0.15">
      <c r="A5" s="35" t="s">
        <v>12</v>
      </c>
      <c r="B5" s="36"/>
      <c r="C5" s="36"/>
      <c r="D5" s="35" t="s">
        <v>13</v>
      </c>
      <c r="E5" s="36"/>
      <c r="F5" s="36"/>
      <c r="G5" s="36"/>
      <c r="H5" s="78"/>
      <c r="I5" s="33"/>
      <c r="J5" s="33"/>
      <c r="K5" s="33"/>
      <c r="L5" s="33"/>
      <c r="M5" s="33"/>
      <c r="N5" s="33"/>
      <c r="O5" s="34"/>
      <c r="P5" s="1"/>
      <c r="Q5" s="1"/>
      <c r="R5" s="1"/>
      <c r="S5" s="1"/>
    </row>
    <row r="6" spans="1:19" ht="14.25" customHeight="1" x14ac:dyDescent="0.15">
      <c r="A6" s="37" t="s">
        <v>14</v>
      </c>
      <c r="B6" s="38"/>
      <c r="C6" s="39"/>
      <c r="D6" s="40">
        <v>45988</v>
      </c>
      <c r="E6" s="41"/>
      <c r="F6" s="41"/>
      <c r="G6" s="42"/>
      <c r="H6" s="43"/>
      <c r="I6" s="44"/>
      <c r="J6" s="44"/>
      <c r="K6" s="44"/>
      <c r="L6" s="44"/>
      <c r="M6" s="44"/>
      <c r="N6" s="44"/>
      <c r="O6" s="45"/>
      <c r="P6" s="1"/>
      <c r="Q6" s="1"/>
      <c r="R6" s="1"/>
      <c r="S6" s="1"/>
    </row>
    <row r="7" spans="1:19" ht="14.25" customHeight="1" x14ac:dyDescent="0.15">
      <c r="A7" s="46" t="s">
        <v>15</v>
      </c>
      <c r="B7" s="47"/>
      <c r="C7" s="47"/>
      <c r="D7" s="46" t="s">
        <v>16</v>
      </c>
      <c r="E7" s="47"/>
      <c r="F7" s="47"/>
      <c r="G7" s="47"/>
      <c r="H7" s="43"/>
      <c r="I7" s="44"/>
      <c r="J7" s="44"/>
      <c r="K7" s="44"/>
      <c r="L7" s="44"/>
      <c r="M7" s="44"/>
      <c r="N7" s="44"/>
      <c r="O7" s="45"/>
      <c r="P7" s="1"/>
      <c r="Q7" s="1"/>
      <c r="R7" s="1"/>
      <c r="S7" s="1"/>
    </row>
    <row r="8" spans="1:19" ht="14.25" customHeight="1" x14ac:dyDescent="0.15">
      <c r="A8" s="54" t="s">
        <v>17</v>
      </c>
      <c r="B8" s="54"/>
      <c r="C8" s="54"/>
      <c r="D8" s="54" t="s">
        <v>18</v>
      </c>
      <c r="E8" s="54"/>
      <c r="F8" s="54"/>
      <c r="G8" s="54"/>
      <c r="H8" s="43"/>
      <c r="I8" s="44"/>
      <c r="J8" s="44"/>
      <c r="K8" s="44"/>
      <c r="L8" s="44"/>
      <c r="M8" s="44"/>
      <c r="N8" s="44"/>
      <c r="O8" s="45"/>
      <c r="P8" s="1"/>
      <c r="Q8" s="1"/>
      <c r="R8" s="1"/>
      <c r="S8" s="1"/>
    </row>
    <row r="9" spans="1:19" ht="14.25" customHeight="1" x14ac:dyDescent="0.15">
      <c r="A9" s="54"/>
      <c r="B9" s="54"/>
      <c r="C9" s="54"/>
      <c r="D9" s="54"/>
      <c r="E9" s="54"/>
      <c r="F9" s="54"/>
      <c r="G9" s="54"/>
      <c r="H9" s="43"/>
      <c r="I9" s="44"/>
      <c r="J9" s="44"/>
      <c r="K9" s="44"/>
      <c r="L9" s="44"/>
      <c r="M9" s="44"/>
      <c r="N9" s="44"/>
      <c r="O9" s="45"/>
      <c r="P9" s="1"/>
      <c r="Q9" s="1"/>
      <c r="R9" s="1"/>
      <c r="S9" s="1"/>
    </row>
    <row r="10" spans="1:19" ht="30" customHeight="1" x14ac:dyDescent="0.15">
      <c r="A10" s="48" t="s">
        <v>19</v>
      </c>
      <c r="B10" s="49"/>
      <c r="C10" s="50"/>
      <c r="D10" s="46" t="s">
        <v>20</v>
      </c>
      <c r="E10" s="47"/>
      <c r="F10" s="47"/>
      <c r="G10" s="47"/>
      <c r="H10" s="51"/>
      <c r="I10" s="52"/>
      <c r="J10" s="52"/>
      <c r="K10" s="52"/>
      <c r="L10" s="52"/>
      <c r="M10" s="52"/>
      <c r="N10" s="52"/>
      <c r="O10" s="53"/>
      <c r="P10" s="1"/>
      <c r="Q10" s="1"/>
      <c r="R10" s="1"/>
      <c r="S10" s="1"/>
    </row>
    <row r="11" spans="1:19" ht="32.25" customHeight="1" x14ac:dyDescent="0.15">
      <c r="A11" s="54" t="s">
        <v>21</v>
      </c>
      <c r="B11" s="54"/>
      <c r="C11" s="54"/>
      <c r="D11" s="54" t="s">
        <v>22</v>
      </c>
      <c r="E11" s="54"/>
      <c r="F11" s="54"/>
      <c r="G11" s="54"/>
      <c r="H11" s="55"/>
      <c r="I11" s="56"/>
      <c r="J11" s="56"/>
      <c r="K11" s="56"/>
      <c r="L11" s="56"/>
      <c r="M11" s="56"/>
      <c r="N11" s="56"/>
      <c r="O11" s="57"/>
      <c r="P11" s="1"/>
      <c r="Q11" s="1"/>
      <c r="R11" s="1"/>
      <c r="S11" s="1"/>
    </row>
    <row r="12" spans="1:19" ht="14.25" customHeight="1" x14ac:dyDescent="0.15">
      <c r="A12" s="75" t="s">
        <v>64</v>
      </c>
      <c r="B12" s="74" t="s">
        <v>24</v>
      </c>
      <c r="C12" s="75"/>
      <c r="D12" s="74" t="s">
        <v>25</v>
      </c>
      <c r="E12" s="76" t="s">
        <v>26</v>
      </c>
      <c r="F12" s="74" t="s">
        <v>27</v>
      </c>
      <c r="G12" s="75"/>
      <c r="H12" s="75"/>
      <c r="I12" s="74" t="s">
        <v>28</v>
      </c>
      <c r="J12" s="75"/>
      <c r="K12" s="74" t="s">
        <v>29</v>
      </c>
      <c r="L12" s="75"/>
      <c r="M12" s="88" t="s">
        <v>65</v>
      </c>
      <c r="N12" s="88" t="s">
        <v>66</v>
      </c>
      <c r="O12" s="74" t="s">
        <v>32</v>
      </c>
    </row>
    <row r="13" spans="1:19" ht="14.25" customHeight="1" x14ac:dyDescent="0.15">
      <c r="A13" s="75"/>
      <c r="B13" s="75"/>
      <c r="C13" s="75"/>
      <c r="D13" s="75"/>
      <c r="E13" s="77"/>
      <c r="F13" s="75"/>
      <c r="G13" s="75"/>
      <c r="H13" s="75"/>
      <c r="I13" s="75"/>
      <c r="J13" s="75"/>
      <c r="K13" s="75"/>
      <c r="L13" s="75"/>
      <c r="M13" s="89"/>
      <c r="N13" s="89"/>
      <c r="O13" s="75"/>
    </row>
    <row r="14" spans="1:19" ht="78" customHeight="1" x14ac:dyDescent="0.15">
      <c r="A14" s="85" t="s">
        <v>67</v>
      </c>
      <c r="B14" s="58" t="s">
        <v>34</v>
      </c>
      <c r="C14" s="59"/>
      <c r="D14" s="3" t="s">
        <v>35</v>
      </c>
      <c r="E14" s="4">
        <v>9405423990</v>
      </c>
      <c r="F14" s="37" t="s">
        <v>36</v>
      </c>
      <c r="G14" s="38"/>
      <c r="H14" s="39"/>
      <c r="I14" s="60">
        <v>22.5</v>
      </c>
      <c r="J14" s="59"/>
      <c r="K14" s="58" t="s">
        <v>37</v>
      </c>
      <c r="L14" s="59"/>
      <c r="M14" s="90">
        <v>23.65</v>
      </c>
      <c r="N14" s="90" t="s">
        <v>68</v>
      </c>
      <c r="O14" s="3" t="s">
        <v>38</v>
      </c>
    </row>
    <row r="15" spans="1:19" ht="78" customHeight="1" x14ac:dyDescent="0.15">
      <c r="A15" s="86"/>
      <c r="B15" s="58" t="s">
        <v>39</v>
      </c>
      <c r="C15" s="59"/>
      <c r="D15" s="3" t="s">
        <v>21</v>
      </c>
      <c r="E15" s="5">
        <v>8535301090</v>
      </c>
      <c r="F15" s="37" t="s">
        <v>40</v>
      </c>
      <c r="G15" s="38"/>
      <c r="H15" s="39"/>
      <c r="I15" s="60">
        <v>36</v>
      </c>
      <c r="J15" s="59"/>
      <c r="K15" s="58" t="s">
        <v>41</v>
      </c>
      <c r="L15" s="59"/>
      <c r="M15" s="91"/>
      <c r="N15" s="91"/>
      <c r="O15" s="3" t="s">
        <v>21</v>
      </c>
    </row>
    <row r="16" spans="1:19" ht="78" customHeight="1" x14ac:dyDescent="0.15">
      <c r="A16" s="86"/>
      <c r="B16" s="58" t="s">
        <v>42</v>
      </c>
      <c r="C16" s="59"/>
      <c r="D16" s="3" t="s">
        <v>21</v>
      </c>
      <c r="E16" s="5">
        <v>8535301090</v>
      </c>
      <c r="F16" s="37" t="s">
        <v>43</v>
      </c>
      <c r="G16" s="38"/>
      <c r="H16" s="39"/>
      <c r="I16" s="60">
        <v>18</v>
      </c>
      <c r="J16" s="59"/>
      <c r="K16" s="58" t="s">
        <v>41</v>
      </c>
      <c r="L16" s="59"/>
      <c r="M16" s="91"/>
      <c r="N16" s="91"/>
      <c r="O16" s="3" t="s">
        <v>44</v>
      </c>
    </row>
    <row r="17" spans="1:16" ht="78" customHeight="1" x14ac:dyDescent="0.15">
      <c r="A17" s="86"/>
      <c r="B17" s="58" t="s">
        <v>45</v>
      </c>
      <c r="C17" s="59"/>
      <c r="D17" s="3" t="s">
        <v>21</v>
      </c>
      <c r="E17" s="5">
        <v>8535301090</v>
      </c>
      <c r="F17" s="37" t="s">
        <v>46</v>
      </c>
      <c r="G17" s="38"/>
      <c r="H17" s="39"/>
      <c r="I17" s="60">
        <v>18</v>
      </c>
      <c r="J17" s="59"/>
      <c r="K17" s="58" t="s">
        <v>41</v>
      </c>
      <c r="L17" s="59"/>
      <c r="M17" s="91"/>
      <c r="N17" s="91"/>
      <c r="O17" s="3" t="s">
        <v>44</v>
      </c>
      <c r="P17" t="s">
        <v>71</v>
      </c>
    </row>
    <row r="18" spans="1:16" ht="78" customHeight="1" x14ac:dyDescent="0.15">
      <c r="A18" s="86"/>
      <c r="B18" s="58" t="s">
        <v>47</v>
      </c>
      <c r="C18" s="59"/>
      <c r="D18" s="3" t="s">
        <v>48</v>
      </c>
      <c r="E18" s="6">
        <v>9405119090</v>
      </c>
      <c r="F18" s="37" t="s">
        <v>49</v>
      </c>
      <c r="G18" s="38"/>
      <c r="H18" s="39"/>
      <c r="I18" s="60">
        <v>18</v>
      </c>
      <c r="J18" s="59"/>
      <c r="K18" s="58" t="s">
        <v>50</v>
      </c>
      <c r="L18" s="59"/>
      <c r="M18" s="91"/>
      <c r="N18" s="91"/>
      <c r="O18" s="3" t="s">
        <v>21</v>
      </c>
    </row>
    <row r="19" spans="1:16" ht="78" customHeight="1" x14ac:dyDescent="0.15">
      <c r="A19" s="86"/>
      <c r="B19" s="58" t="s">
        <v>51</v>
      </c>
      <c r="C19" s="59"/>
      <c r="D19" s="3" t="s">
        <v>52</v>
      </c>
      <c r="E19" s="5">
        <v>8535301090</v>
      </c>
      <c r="F19" s="37" t="s">
        <v>53</v>
      </c>
      <c r="G19" s="38"/>
      <c r="H19" s="39"/>
      <c r="I19" s="60">
        <v>3</v>
      </c>
      <c r="J19" s="59"/>
      <c r="K19" s="58" t="s">
        <v>41</v>
      </c>
      <c r="L19" s="59"/>
      <c r="M19" s="91"/>
      <c r="N19" s="91"/>
      <c r="O19" s="3" t="s">
        <v>21</v>
      </c>
    </row>
    <row r="20" spans="1:16" ht="78" customHeight="1" x14ac:dyDescent="0.15">
      <c r="A20" s="87"/>
      <c r="B20" s="58" t="s">
        <v>51</v>
      </c>
      <c r="C20" s="59"/>
      <c r="D20" s="3" t="s">
        <v>54</v>
      </c>
      <c r="E20" s="5">
        <v>8535301090</v>
      </c>
      <c r="F20" s="37" t="s">
        <v>55</v>
      </c>
      <c r="G20" s="38"/>
      <c r="H20" s="39"/>
      <c r="I20" s="60">
        <v>3</v>
      </c>
      <c r="J20" s="59"/>
      <c r="K20" s="58" t="s">
        <v>41</v>
      </c>
      <c r="L20" s="59"/>
      <c r="M20" s="92"/>
      <c r="N20" s="92"/>
      <c r="O20" s="3" t="s">
        <v>21</v>
      </c>
      <c r="P20" s="7">
        <f>0.82*0.71*0.07+2.06*0.13*0.14+0.29*0.22*0.07</f>
        <v>8.2711999999999994E-2</v>
      </c>
    </row>
    <row r="21" spans="1:16" ht="20.100000000000001" customHeight="1" x14ac:dyDescent="0.15">
      <c r="A21" s="16" t="s">
        <v>56</v>
      </c>
      <c r="B21" s="82" t="s">
        <v>69</v>
      </c>
      <c r="C21" s="83"/>
      <c r="D21" s="83"/>
      <c r="E21" s="83"/>
      <c r="F21" s="83"/>
      <c r="G21" s="83"/>
      <c r="H21" s="83"/>
      <c r="I21" s="83"/>
      <c r="J21" s="83"/>
      <c r="K21" s="83"/>
      <c r="L21" s="84"/>
      <c r="M21" s="8">
        <f>SUM(M14:M20)</f>
        <v>23.65</v>
      </c>
      <c r="N21" s="8" t="s">
        <v>70</v>
      </c>
      <c r="O21" s="9"/>
    </row>
    <row r="22" spans="1:16" ht="20.100000000000001" customHeight="1" x14ac:dyDescent="0.15">
      <c r="A22" s="61" t="s">
        <v>57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10"/>
      <c r="O22" s="9"/>
    </row>
    <row r="23" spans="1:16" ht="15.95" customHeight="1" x14ac:dyDescent="0.15">
      <c r="A23" s="63" t="s">
        <v>58</v>
      </c>
      <c r="B23" s="64"/>
      <c r="C23" s="64"/>
      <c r="D23" s="64"/>
      <c r="E23" s="64"/>
      <c r="F23" s="64"/>
      <c r="G23" s="64"/>
      <c r="H23" s="11"/>
      <c r="I23" s="11"/>
      <c r="J23" s="65" t="s">
        <v>59</v>
      </c>
      <c r="K23" s="66"/>
      <c r="L23" s="66"/>
      <c r="M23" s="27" t="str">
        <f>C1</f>
        <v>LED FLEX Ltd</v>
      </c>
      <c r="N23" s="27"/>
      <c r="O23" s="31"/>
    </row>
    <row r="24" spans="1:16" ht="21" customHeight="1" x14ac:dyDescent="0.15">
      <c r="A24" s="67" t="s">
        <v>60</v>
      </c>
      <c r="B24" s="68"/>
      <c r="C24" s="68"/>
      <c r="D24" s="68"/>
      <c r="E24" s="68"/>
      <c r="F24" s="68"/>
      <c r="G24" s="11"/>
      <c r="H24" s="11"/>
      <c r="I24" s="11"/>
      <c r="J24" s="69"/>
      <c r="K24" s="69"/>
      <c r="L24" s="69"/>
      <c r="M24" s="69"/>
      <c r="N24" s="69"/>
      <c r="O24" s="70"/>
    </row>
    <row r="25" spans="1:16" ht="24" customHeight="1" x14ac:dyDescent="0.15">
      <c r="A25" s="71" t="s">
        <v>61</v>
      </c>
      <c r="B25" s="68"/>
      <c r="C25" s="68"/>
      <c r="D25" s="68"/>
      <c r="E25" s="68"/>
      <c r="F25" s="68"/>
      <c r="G25" s="12"/>
      <c r="H25" s="12"/>
      <c r="I25" s="12"/>
      <c r="J25" s="72" t="s">
        <v>62</v>
      </c>
      <c r="K25" s="68"/>
      <c r="L25" s="68"/>
      <c r="M25" s="68"/>
      <c r="N25" s="68"/>
      <c r="O25" s="73"/>
    </row>
  </sheetData>
  <mergeCells count="81">
    <mergeCell ref="A25:F25"/>
    <mergeCell ref="J25:O25"/>
    <mergeCell ref="A12:A13"/>
    <mergeCell ref="A14:A20"/>
    <mergeCell ref="D12:D13"/>
    <mergeCell ref="E12:E13"/>
    <mergeCell ref="M12:M13"/>
    <mergeCell ref="M14:M20"/>
    <mergeCell ref="N12:N13"/>
    <mergeCell ref="N14:N20"/>
    <mergeCell ref="O12:O13"/>
    <mergeCell ref="B12:C13"/>
    <mergeCell ref="F12:H13"/>
    <mergeCell ref="I12:J13"/>
    <mergeCell ref="K12:L13"/>
    <mergeCell ref="A22:M22"/>
    <mergeCell ref="A23:G23"/>
    <mergeCell ref="J23:L23"/>
    <mergeCell ref="M23:O23"/>
    <mergeCell ref="A24:F24"/>
    <mergeCell ref="J24:O24"/>
    <mergeCell ref="B20:C20"/>
    <mergeCell ref="F20:H20"/>
    <mergeCell ref="I20:J20"/>
    <mergeCell ref="K20:L20"/>
    <mergeCell ref="B21:L21"/>
    <mergeCell ref="B18:C18"/>
    <mergeCell ref="F18:H18"/>
    <mergeCell ref="I18:J18"/>
    <mergeCell ref="K18:L18"/>
    <mergeCell ref="B19:C19"/>
    <mergeCell ref="F19:H19"/>
    <mergeCell ref="I19:J19"/>
    <mergeCell ref="K19:L19"/>
    <mergeCell ref="B16:C16"/>
    <mergeCell ref="F16:H16"/>
    <mergeCell ref="I16:J16"/>
    <mergeCell ref="K16:L16"/>
    <mergeCell ref="B17:C17"/>
    <mergeCell ref="F17:H17"/>
    <mergeCell ref="I17:J17"/>
    <mergeCell ref="K17:L17"/>
    <mergeCell ref="B14:C14"/>
    <mergeCell ref="F14:H14"/>
    <mergeCell ref="I14:J14"/>
    <mergeCell ref="K14:L14"/>
    <mergeCell ref="B15:C15"/>
    <mergeCell ref="F15:H15"/>
    <mergeCell ref="I15:J15"/>
    <mergeCell ref="K15:L15"/>
    <mergeCell ref="A10:C10"/>
    <mergeCell ref="D10:G10"/>
    <mergeCell ref="H10:O10"/>
    <mergeCell ref="A11:C11"/>
    <mergeCell ref="D11:G11"/>
    <mergeCell ref="H11:O11"/>
    <mergeCell ref="A7:C7"/>
    <mergeCell ref="D7:G7"/>
    <mergeCell ref="H7:O7"/>
    <mergeCell ref="H8:O8"/>
    <mergeCell ref="H9:O9"/>
    <mergeCell ref="A8:C9"/>
    <mergeCell ref="D8:G9"/>
    <mergeCell ref="A5:C5"/>
    <mergeCell ref="D5:G5"/>
    <mergeCell ref="A6:C6"/>
    <mergeCell ref="D6:G6"/>
    <mergeCell ref="H6:O6"/>
    <mergeCell ref="H4:O5"/>
    <mergeCell ref="A3:B3"/>
    <mergeCell ref="C3:G3"/>
    <mergeCell ref="H3:O3"/>
    <mergeCell ref="A4:B4"/>
    <mergeCell ref="C4:G4"/>
    <mergeCell ref="A1:B1"/>
    <mergeCell ref="C1:G1"/>
    <mergeCell ref="H1:L1"/>
    <mergeCell ref="M1:O1"/>
    <mergeCell ref="A2:B2"/>
    <mergeCell ref="C2:G2"/>
    <mergeCell ref="H2:O2"/>
  </mergeCells>
  <phoneticPr fontId="10" type="noConversion"/>
  <printOptions horizontalCentered="1"/>
  <pageMargins left="0.196850393700787" right="0.196850393700787" top="0.196850393700787" bottom="0.196850393700787" header="0.31496062992126" footer="0.31496062992126"/>
  <pageSetup paperSize="9" scale="68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CI</vt:lpstr>
      <vt:lpstr>EPL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Administrator</cp:lastModifiedBy>
  <cp:lastPrinted>2025-11-27T03:21:00Z</cp:lastPrinted>
  <dcterms:created xsi:type="dcterms:W3CDTF">2023-05-11T12:15:00Z</dcterms:created>
  <dcterms:modified xsi:type="dcterms:W3CDTF">2026-04-16T06:49:06Z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ICV">
    <vt:lpwstr>130F07691484457C9E88BE84EBB8BF3A_13</vt:lpwstr>
  </property>
  <property fmtid="{D5CDD505-2E9C-101B-9397-08002B2CF9AE}" pid="5" name="KSOProductBuildVer">
    <vt:lpwstr>2052-12.1.0.24034</vt:lpwstr>
  </property>
  <property fmtid="{D5CDD505-2E9C-101B-9397-08002B2CF9AE}" pid="6" name="CalculationRule">
    <vt:i4>0</vt:i4>
  </property>
</Properties>
</file>